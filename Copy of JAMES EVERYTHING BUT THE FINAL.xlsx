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<sst xmlns="http://schemas.openxmlformats.org/spreadsheetml/2006/main" count="48" uniqueCount="48">
  <si>
    <t>Last Name</t>
  </si>
  <si>
    <t>First Name</t>
  </si>
  <si>
    <t>TEST 1 FINAL GRADE Points Grade &lt;Numeric MaxPoints:100&gt;</t>
  </si>
  <si>
    <t>Extra Credits from 2 meetings (2 points possible)</t>
  </si>
  <si>
    <t>TEST 1 REDOS Points Grade &lt;Numeric MaxPoints:5&gt; +Extra credit</t>
  </si>
  <si>
    <t>Test 1 final grade with redos</t>
  </si>
  <si>
    <t>TEST 2 Part 2 Points Grade &lt;Numeric MaxPoints:26&gt;</t>
  </si>
  <si>
    <t>TEST 2 PART 1 Points Grade &lt;Numeric MaxPoints:43&gt;</t>
  </si>
  <si>
    <t>TEST 2 REDOS Points Grade &lt;Numeric MaxPoints:5&gt;</t>
  </si>
  <si>
    <t>TEST 2 FINAL GRADE WITH REDOS</t>
  </si>
  <si>
    <t>Test 3 Final Grade</t>
  </si>
  <si>
    <t>Test 3 Redos</t>
  </si>
  <si>
    <t>Test 3 Final Grade + Redos</t>
  </si>
  <si>
    <t>TPS 9122024 Points Grade &lt;Numeric MaxPoints:1&gt;</t>
  </si>
  <si>
    <t>TPS 921 Points Grade &lt;Numeric MaxPoints:1&gt;</t>
  </si>
  <si>
    <t>TPS 9262023 Points Grade &lt;Numeric MaxPoints:1&gt;</t>
  </si>
  <si>
    <t>TPS for Oct 10 Points Grade &lt;Numeric MaxPoints:1&gt;</t>
  </si>
  <si>
    <t>ThinkPairShare Oct 17 Points Grade &lt;Numeric MaxPoints:1&gt;</t>
  </si>
  <si>
    <t>TPS Lecture 2 Points Grade &lt;Numeric MaxPoints:1&gt;</t>
  </si>
  <si>
    <t>TPS OCT 31</t>
  </si>
  <si>
    <t>TPS NOV 7</t>
  </si>
  <si>
    <t>TPS Processing</t>
  </si>
  <si>
    <t>TPS POINTS (out of 6) lowest 3 dropped</t>
  </si>
  <si>
    <t>Lab 1 Points Grade &lt;Numeric MaxPoints:10&gt;</t>
  </si>
  <si>
    <t>Lab 2 Points Grade &lt;Numeric MaxPoints:5&gt;</t>
  </si>
  <si>
    <t>Zip up and turn in all your code for lab 3 that you wrote Points Grade &lt;Numeric MaxPoints:10&gt;</t>
  </si>
  <si>
    <t>IntroToClassesLab Points Grade &lt;Numeric MaxPoints:10&gt;</t>
  </si>
  <si>
    <t>Classes Lab 2 (book 7.1-7.7) Points Grade &lt;Numeric MaxPoints:10&gt;</t>
  </si>
  <si>
    <t>Classes Lab 3 Assignment Points Grade &lt;Numeric MaxPoints:10&gt;</t>
  </si>
  <si>
    <t>Final Classes Lab: Static and Final Points Grade &lt;Numeric MaxPoints:10&gt;</t>
  </si>
  <si>
    <t>Arrays lab</t>
  </si>
  <si>
    <t>Conways Game Of Life EC</t>
  </si>
  <si>
    <t>LAB POINTS (out of 8)</t>
  </si>
  <si>
    <t>Test 1 Total Grade Percent (20 pts towards total grade)</t>
  </si>
  <si>
    <t>Test 2 Total Grade Percent (20 pts towards total grade)</t>
  </si>
  <si>
    <t>Test 3 Total Grade Percent (20 points towards total graade)</t>
  </si>
  <si>
    <t>Homework Total Grade Percent (10 pts towards total grade)</t>
  </si>
  <si>
    <t>TPS Total Grade Points (5)</t>
  </si>
  <si>
    <t>HomeworkHelpForum (free 5 pts)</t>
  </si>
  <si>
    <t>Total Grade with 3 tests (out of 80 points that can be calculated but not in full (ie there are going to be more hw and tps)</t>
  </si>
  <si>
    <t>Current Grade with final assuming it's a 0</t>
  </si>
  <si>
    <t>Final Exam Percent Hypothetical (i.e. type in 70 if you want to see what will happen with a 70)</t>
  </si>
  <si>
    <t>Final Exam Points</t>
  </si>
  <si>
    <t>HypotheticalFinal Grade with Test 3 and Final</t>
  </si>
  <si>
    <t>McGuigan</t>
  </si>
  <si>
    <t>James</t>
  </si>
  <si>
    <t>Notes</t>
  </si>
  <si>
    <t>^^^Type into this box to figure out the final grade you need to pass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</si>
</sst>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4" fontId="2" numFmtId="0" xfId="0" applyAlignment="1" applyFill="1" applyFont="1">
      <alignment horizontal="right" vertical="bottom"/>
    </xf>
    <xf borderId="0" fillId="5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15.63"/>
    <col customWidth="1" min="3" max="3" width="50.5"/>
    <col customWidth="1" min="4" max="4" width="39.88"/>
    <col customWidth="1" min="5" max="5" width="53.88"/>
    <col customWidth="1" min="6" max="6" width="23.38"/>
    <col customWidth="1" min="7" max="7" width="42.88"/>
    <col customWidth="1" min="8" max="8" width="44.0"/>
    <col customWidth="1" min="9" max="9" width="43.25"/>
    <col customWidth="1" min="10" max="10" width="29.63"/>
    <col customWidth="1" min="11" max="11" width="15.38"/>
    <col customWidth="1" min="12" max="12" width="11.25"/>
    <col customWidth="1" min="13" max="13" width="22.38"/>
    <col customWidth="1" min="14" max="14" width="42.25"/>
    <col customWidth="1" min="15" max="15" width="38.63"/>
    <col customWidth="1" min="16" max="16" width="41.38"/>
    <col customWidth="1" min="17" max="17" width="43.63"/>
    <col customWidth="1" min="18" max="18" width="49.88"/>
    <col customWidth="1" min="19" max="22" width="43.25"/>
    <col customWidth="1" min="23" max="23" width="32.63"/>
    <col customWidth="1" min="26" max="26" width="36.5"/>
    <col customWidth="1" min="27" max="27" width="35.5"/>
    <col customWidth="1" min="28" max="28" width="75.75"/>
    <col customWidth="1" min="29" max="29" width="47.0"/>
    <col customWidth="1" min="30" max="30" width="54.38"/>
    <col customWidth="1" min="31" max="31" width="53.25"/>
    <col customWidth="1" min="32" max="32" width="59.5"/>
    <col customWidth="1" min="33" max="33" width="9.13"/>
    <col customWidth="1" min="34" max="34" width="21.88"/>
    <col customWidth="1" min="35" max="35" width="18.63"/>
    <col customWidth="1" min="37" max="38" width="44.13"/>
    <col customWidth="1" min="39" max="39" width="47.5"/>
    <col customWidth="1" min="40" max="40" width="47.88"/>
    <col customWidth="1" min="41" max="41" width="21.88"/>
    <col customWidth="1" min="42" max="42" width="27.25"/>
    <col customWidth="1" min="43" max="43" width="95.63"/>
    <col customWidth="1" min="44" max="44" width="33.75"/>
    <col customWidth="1" min="45" max="45" width="66.13"/>
    <col customWidth="1" min="46" max="46" width="15.38"/>
    <col customWidth="1" min="47" max="47" width="26.8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2"/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</row>
    <row r="2" ht="15.75" customHeight="1">
      <c r="A2" s="3" t="s">
        <v>44</v>
      </c>
      <c r="B2" s="3" t="s">
        <v>45</v>
      </c>
      <c r="C2" s="4">
        <v>67.42</v>
      </c>
      <c r="D2" s="4">
        <v>1.0</v>
      </c>
      <c r="E2" s="4">
        <v>6.0</v>
      </c>
      <c r="F2" s="5">
        <f>C2+E2</f>
        <v>73.42</v>
      </c>
      <c r="G2" s="4">
        <v>16.0</v>
      </c>
      <c r="H2" s="4">
        <v>35.0</v>
      </c>
      <c r="I2" s="4">
        <v>5.0</v>
      </c>
      <c r="J2" s="5">
        <f>40*(H2/43)+60*(G2/26)+I2</f>
        <v>74.48121646</v>
      </c>
      <c r="K2" s="4">
        <v>81.0</v>
      </c>
      <c r="L2" s="4">
        <v>5.0</v>
      </c>
      <c r="M2" s="5">
        <f>K2+L2</f>
        <v>86</v>
      </c>
      <c r="N2" s="4">
        <v>1.0</v>
      </c>
      <c r="O2" s="4">
        <v>1.0</v>
      </c>
      <c r="P2" s="4">
        <v>0.0</v>
      </c>
      <c r="Q2" s="4">
        <v>1.0</v>
      </c>
      <c r="R2" s="4">
        <v>1.0</v>
      </c>
      <c r="S2" s="4">
        <v>1.0</v>
      </c>
      <c r="T2" s="4">
        <v>1.0</v>
      </c>
      <c r="U2" s="4"/>
      <c r="V2" s="4"/>
      <c r="W2" s="5">
        <f>IF(SUM(N2:V2)&gt;6,6,SUM(N2:V2))</f>
        <v>6</v>
      </c>
      <c r="X2" s="3"/>
      <c r="Y2" s="3"/>
      <c r="Z2" s="4">
        <v>1.0</v>
      </c>
      <c r="AA2" s="4">
        <v>1.0</v>
      </c>
      <c r="AB2" s="4">
        <v>1.0</v>
      </c>
      <c r="AC2" s="4">
        <v>1.0</v>
      </c>
      <c r="AD2" s="4">
        <v>1.0</v>
      </c>
      <c r="AE2" s="4">
        <v>1.0</v>
      </c>
      <c r="AF2" s="4">
        <v>1.0</v>
      </c>
      <c r="AG2" s="3">
        <v>1.0</v>
      </c>
      <c r="AH2" s="3">
        <v>1.0</v>
      </c>
      <c r="AI2" s="5">
        <f>sum(Z2:AH2)</f>
        <v>9</v>
      </c>
      <c r="AJ2" s="3"/>
      <c r="AK2" s="4">
        <f>(F2/100)*20</f>
        <v>14.684</v>
      </c>
      <c r="AL2" s="4">
        <f>(J2/100)*20</f>
        <v>14.89624329</v>
      </c>
      <c r="AM2" s="4">
        <f>(M2/100)*20</f>
        <v>17.2</v>
      </c>
      <c r="AN2" s="4">
        <f>(AI2/8)*10</f>
        <v>11.25</v>
      </c>
      <c r="AO2" s="4">
        <f>(W2/5)*5</f>
        <v>6</v>
      </c>
      <c r="AP2" s="4">
        <v>5.0</v>
      </c>
      <c r="AQ2" s="6">
        <f>100*sum(AK2:AP2)/80</f>
        <v>86.28780411</v>
      </c>
      <c r="AR2" s="4">
        <f>sum(AK2:AP2)</f>
        <v>69.03024329</v>
      </c>
      <c r="AS2" s="3">
        <v>80.0</v>
      </c>
      <c r="AT2" s="4">
        <f>(AS2/100)*20</f>
        <v>16</v>
      </c>
      <c r="AU2" s="6">
        <f>AR2+AT2</f>
        <v>85.03024329</v>
      </c>
    </row>
    <row r="3" ht="15.75" customHeight="1">
      <c r="A3" s="7" t="s">
        <v>46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 t="s">
        <v>47</v>
      </c>
      <c r="AT3" s="7"/>
      <c r="AU3" s="7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