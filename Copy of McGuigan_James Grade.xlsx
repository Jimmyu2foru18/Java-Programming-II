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<sst xmlns="http://schemas.openxmlformats.org/spreadsheetml/2006/main" count="35" uniqueCount="35">
  <si>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Last Name</t>
  </si>
  <si>
    <t>First Name</t>
  </si>
  <si>
    <t>TEST 1 FINAL GRADE Points Grade &lt;Numeric MaxPoints:100&gt;</t>
  </si>
  <si>
    <t>TEST 1 REDOS Points Grade &lt;Numeric MaxPoints:5&gt;</t>
  </si>
  <si>
    <t>Test 1 final grade with redos</t>
  </si>
  <si>
    <t>TEST 2 Part 2 Points Grade &lt;Numeric MaxPoints:26&gt;</t>
  </si>
  <si>
    <t>TEST 2 PART 1 Points Grade &lt;Numeric MaxPoints:43&gt;</t>
  </si>
  <si>
    <t>TEST 2 REDOS Points Grade &lt;Numeric MaxPoints:5&gt;</t>
  </si>
  <si>
    <t>TEST 2 FINAL GRADE WITH REDOS</t>
  </si>
  <si>
    <t>TPS 9122024 Points Grade &lt;Numeric MaxPoints:10&gt;</t>
  </si>
  <si>
    <t>TPS 921 Points Grade &lt;Numeric MaxPoints:10&gt;</t>
  </si>
  <si>
    <t>TPS 9262023 Points Grade &lt;Numeric MaxPoints:5&gt;</t>
  </si>
  <si>
    <t>TPS for Oct 10 Points Grade &lt;Numeric MaxPoints:10&gt;</t>
  </si>
  <si>
    <t>ThinkPairShare Oct 17 Points Grade &lt;Numeric MaxPoints:10&gt;</t>
  </si>
  <si>
    <t>TPS Lecture 2 Points Grade &lt;Numeric MaxPoints:10&gt;</t>
  </si>
  <si>
    <t>TPS POINTS (out of 5) lowest dropped</t>
  </si>
  <si>
    <t>Lab 1 Points Grade &lt;Numeric MaxPoints:10&gt;</t>
  </si>
  <si>
    <t>Lab 2 Points Grade &lt;Numeric MaxPoints:5&gt;</t>
  </si>
  <si>
    <t>Zip up and turn in all your code for lab 3 that you wrote Points Grade &lt;Numeric MaxPoints:10&gt;</t>
  </si>
  <si>
    <t>IntroToClassesLab Points Grade &lt;Numeric MaxPoints:10&gt;</t>
  </si>
  <si>
    <t>Classes Lab 2 (book 7.1-7.7) Points Grade &lt;Numeric MaxPoints:10&gt;</t>
  </si>
  <si>
    <t>Classes Lab 3 Assignment Points Grade &lt;Numeric MaxPoints:10&gt;</t>
  </si>
  <si>
    <t>Final Classes Lab: Static and Final Points Grade &lt;Numeric MaxPoints:10&gt;</t>
  </si>
  <si>
    <t>LAB POINTS (out of 7)</t>
  </si>
  <si>
    <t>Test 1 Total Grade Percent (20 pts towards total grade)</t>
  </si>
  <si>
    <t>Test 2 Total Grade Percent (20 pts towards total grade)</t>
  </si>
  <si>
    <t>Homework Total Grade Percent (10 pts towards total grade)</t>
  </si>
  <si>
    <t>TPS Total Grade Points (5)</t>
  </si>
  <si>
    <t>HomeworkHelpForum (free 5 pts)</t>
  </si>
  <si>
    <t>Total Grade through 2 tests (out of 60 points that can be calculated but not in full (ie there are going to be more hw and tps)</t>
  </si>
  <si>
    <t>Test 3 percent</t>
  </si>
  <si>
    <t>Final Percent</t>
  </si>
  <si>
    <t>Final Grade with Test 3 and Final</t>
  </si>
  <si>
    <t>McGuigan</t>
  </si>
  <si>
    <t>James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</si>
</sst>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9.13"/>
    <col customWidth="1" min="3" max="3" width="48.5"/>
    <col customWidth="1" min="4" max="4" width="41.5"/>
    <col customWidth="1" min="5" max="5" width="23.38"/>
    <col customWidth="1" min="6" max="6" width="40.88"/>
    <col customWidth="1" min="7" max="7" width="42.13"/>
    <col customWidth="1" min="8" max="8" width="41.5"/>
    <col customWidth="1" min="9" max="9" width="29.63"/>
    <col customWidth="1" min="11" max="11" width="40.5"/>
    <col customWidth="1" min="12" max="12" width="36.88"/>
    <col customWidth="1" min="13" max="13" width="39.63"/>
    <col customWidth="1" min="14" max="14" width="41.38"/>
    <col customWidth="1" min="15" max="15" width="47.25"/>
    <col customWidth="1" min="16" max="16" width="41.0"/>
    <col customWidth="1" min="17" max="17" width="31.25"/>
    <col customWidth="1" min="20" max="20" width="34.5"/>
    <col customWidth="1" min="21" max="21" width="33.63"/>
    <col customWidth="1" min="22" max="22" width="70.63"/>
    <col customWidth="1" min="23" max="23" width="44.13"/>
    <col customWidth="1" min="24" max="24" width="51.75"/>
    <col customWidth="1" min="25" max="25" width="50.13"/>
    <col customWidth="1" min="26" max="26" width="56.0"/>
    <col customWidth="1" min="27" max="27" width="18.63"/>
    <col customWidth="1" min="29" max="30" width="41.5"/>
    <col customWidth="1" min="31" max="31" width="45.0"/>
    <col customWidth="1" min="32" max="32" width="20.88"/>
    <col customWidth="1" min="33" max="33" width="25.75"/>
    <col customWidth="1" min="34" max="34" width="91.63"/>
    <col customWidth="1" min="35" max="35" width="11.5"/>
    <col customWidth="1" min="36" max="36" width="10.88"/>
    <col customWidth="1" min="37" max="37" width="25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15</v>
      </c>
      <c r="R1" s="1"/>
      <c r="S1" s="1"/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2" t="s">
        <v>23</v>
      </c>
      <c r="AB1" s="1"/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3" t="s">
        <v>29</v>
      </c>
      <c r="AI1" s="1" t="s">
        <v>30</v>
      </c>
      <c r="AJ1" s="1" t="s">
        <v>31</v>
      </c>
      <c r="AK1" s="3" t="s">
        <v>32</v>
      </c>
    </row>
    <row r="2" ht="15.75" customHeight="1">
      <c r="A2" s="1" t="s">
        <v>33</v>
      </c>
      <c r="B2" s="1" t="s">
        <v>34</v>
      </c>
      <c r="C2" s="4">
        <v>67.42</v>
      </c>
      <c r="D2" s="4">
        <v>5.0</v>
      </c>
      <c r="E2" s="5">
        <f>C2+D2</f>
        <v>72.42</v>
      </c>
      <c r="F2" s="4">
        <v>16.0</v>
      </c>
      <c r="G2" s="4">
        <v>35.0</v>
      </c>
      <c r="H2" s="4">
        <v>5.0</v>
      </c>
      <c r="I2" s="5">
        <f>40*(G2/43)+60*(F2/26)+H2</f>
        <v>74.48121646</v>
      </c>
      <c r="J2" s="1"/>
      <c r="K2" s="4">
        <v>1.0</v>
      </c>
      <c r="L2" s="4">
        <v>1.0</v>
      </c>
      <c r="M2" s="4">
        <v>0.0</v>
      </c>
      <c r="N2" s="4">
        <v>1.0</v>
      </c>
      <c r="O2" s="4">
        <v>1.0</v>
      </c>
      <c r="P2" s="4">
        <v>1.0</v>
      </c>
      <c r="Q2" s="5">
        <f>IF(SUM(K2:P2)&gt;5,5,SUM(K2:P2))</f>
        <v>5</v>
      </c>
      <c r="R2" s="1"/>
      <c r="S2" s="1"/>
      <c r="T2" s="4">
        <v>1.0</v>
      </c>
      <c r="U2" s="4">
        <v>1.0</v>
      </c>
      <c r="V2" s="4">
        <v>1.0</v>
      </c>
      <c r="W2" s="4">
        <v>1.0</v>
      </c>
      <c r="X2" s="4">
        <v>1.0</v>
      </c>
      <c r="Y2" s="4">
        <v>1.0</v>
      </c>
      <c r="Z2" s="4">
        <v>1.0</v>
      </c>
      <c r="AA2" s="5">
        <f>sum(T2:Z2)</f>
        <v>7</v>
      </c>
      <c r="AB2" s="1"/>
      <c r="AC2" s="4">
        <f>(E2/100)*20</f>
        <v>14.484</v>
      </c>
      <c r="AD2" s="4">
        <f>(I2/100)*20</f>
        <v>14.89624329</v>
      </c>
      <c r="AE2" s="4">
        <f>(AA2/7)*10</f>
        <v>10</v>
      </c>
      <c r="AF2" s="4">
        <f>(Q2/5)*5</f>
        <v>5</v>
      </c>
      <c r="AG2" s="4">
        <v>5.0</v>
      </c>
      <c r="AH2" s="6">
        <f>sum(AC2:AG2)/60</f>
        <v>0.8230040549</v>
      </c>
      <c r="AI2" s="1">
        <v>86.0</v>
      </c>
      <c r="AJ2" s="1"/>
      <c r="AK2" s="6">
        <f>sum(AC2:AG2)+AI2*20+AJ2*20</f>
        <v>1769.380243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